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GitHub\Chroma\Chroma\analise_celobiose_final\"/>
    </mc:Choice>
  </mc:AlternateContent>
  <xr:revisionPtr revIDLastSave="0" documentId="13_ncr:1_{E1B8B597-6E94-4DF0-A98B-38CCAFE0F7C6}" xr6:coauthVersionLast="47" xr6:coauthVersionMax="47" xr10:uidLastSave="{00000000-0000-0000-0000-000000000000}"/>
  <bookViews>
    <workbookView xWindow="0" yWindow="360" windowWidth="29040" windowHeight="15720" xr2:uid="{14015BB6-0CF7-4318-8A06-754AA34915A6}"/>
  </bookViews>
  <sheets>
    <sheet name="resultados_finais_celobi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4" i="1"/>
  <c r="K38" i="1"/>
  <c r="K36" i="1"/>
  <c r="K34" i="1"/>
  <c r="K32" i="1"/>
  <c r="K30" i="1"/>
  <c r="K28" i="1"/>
  <c r="K26" i="1"/>
  <c r="K24" i="1"/>
  <c r="K22" i="1"/>
  <c r="K20" i="1"/>
  <c r="K18" i="1"/>
  <c r="K15" i="1"/>
  <c r="K12" i="1"/>
  <c r="K9" i="1"/>
  <c r="K7" i="1"/>
  <c r="K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2" i="1"/>
  <c r="H13" i="1" a="1"/>
  <c r="H13" i="1" s="1"/>
  <c r="H21" i="1" a="1"/>
  <c r="H21" i="1" s="1"/>
  <c r="H27" i="1" a="1"/>
  <c r="H27" i="1" s="1"/>
  <c r="H31" i="1" a="1"/>
  <c r="H31" i="1" s="1"/>
  <c r="H19" i="1" a="1"/>
  <c r="H19" i="1" s="1"/>
  <c r="H7" i="1" a="1"/>
  <c r="H7" i="1" s="1"/>
  <c r="H2" i="1" a="1"/>
  <c r="H2" i="1" s="1"/>
  <c r="H16" i="1" a="1"/>
  <c r="H16" i="1" s="1"/>
  <c r="H30" i="1" a="1"/>
  <c r="H30" i="1" s="1"/>
  <c r="H10" i="1" a="1"/>
  <c r="H10" i="1" s="1"/>
  <c r="H24" i="1" a="1"/>
  <c r="H24" i="1" s="1"/>
  <c r="H38" i="1" a="1"/>
  <c r="H38" i="1" s="1"/>
  <c r="H20" i="1" a="1"/>
  <c r="H20" i="1" s="1"/>
  <c r="H34" i="1" a="1"/>
  <c r="H34" i="1" s="1"/>
  <c r="H14" i="1" a="1"/>
  <c r="H14" i="1" s="1"/>
  <c r="H3" i="1" a="1"/>
  <c r="H3" i="1" s="1"/>
  <c r="H17" i="1" a="1"/>
  <c r="H17" i="1" s="1"/>
  <c r="H4" i="1" a="1"/>
  <c r="H4" i="1" s="1"/>
  <c r="H22" i="1" a="1"/>
  <c r="H22" i="1" s="1"/>
  <c r="H36" i="1" a="1"/>
  <c r="H36" i="1" s="1"/>
  <c r="H23" i="1" a="1"/>
  <c r="H23" i="1" s="1"/>
  <c r="H12" i="1" a="1"/>
  <c r="H12" i="1" s="1"/>
  <c r="H8" i="1" a="1"/>
  <c r="H8" i="1" s="1"/>
  <c r="H26" i="1" a="1"/>
  <c r="H26" i="1" s="1"/>
  <c r="H35" i="1" a="1"/>
  <c r="H35" i="1" s="1"/>
  <c r="H18" i="1" a="1"/>
  <c r="H18" i="1" s="1"/>
  <c r="H32" i="1" a="1"/>
  <c r="H32" i="1" s="1"/>
  <c r="H11" i="1" a="1"/>
  <c r="H11" i="1" s="1"/>
  <c r="H29" i="1" a="1"/>
  <c r="H29" i="1" s="1"/>
  <c r="H37" i="1" a="1"/>
  <c r="H37" i="1" s="1"/>
  <c r="H5" i="1" a="1"/>
  <c r="H5" i="1" s="1"/>
  <c r="H28" i="1" a="1"/>
  <c r="H28" i="1" s="1"/>
  <c r="H15" i="1" a="1"/>
  <c r="H15" i="1" s="1"/>
  <c r="H25" i="1" a="1"/>
  <c r="H25" i="1" s="1"/>
  <c r="H9" i="1" a="1"/>
  <c r="H9" i="1" s="1"/>
  <c r="H33" i="1" a="1"/>
  <c r="H33" i="1" s="1"/>
  <c r="H6" i="1" a="1"/>
  <c r="H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<sst xmlns="http://schemas.openxmlformats.org/spreadsheetml/2006/main" count="44" uniqueCount="44">
  <si>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>Nome do Arquivo</t>
  </si>
  <si>
    <t>Ãrea Calculada</t>
  </si>
  <si>
    <t>ConcentraÃ§Ã£o Calculada</t>
  </si>
  <si>
    <t>DCS_E5106.csv</t>
  </si>
  <si>
    <t>DCS_E5107.csv</t>
  </si>
  <si>
    <t>DCS_E5108.csv</t>
  </si>
  <si>
    <t>DCS_E5109.csv</t>
  </si>
  <si>
    <t>DCS_E511.csv</t>
  </si>
  <si>
    <t>DCS_E5110.csv</t>
  </si>
  <si>
    <t>DCS_E5111.csv</t>
  </si>
  <si>
    <t>DCS_E5112.csv</t>
  </si>
  <si>
    <t>DCS_E5113.csv</t>
  </si>
  <si>
    <t>DCS_E5114.csv</t>
  </si>
  <si>
    <t>DCS_E5115.csv</t>
  </si>
  <si>
    <t>DCS_E5116.csv</t>
  </si>
  <si>
    <t>DCS_E512.csv</t>
  </si>
  <si>
    <t>DCS_E513.csv</t>
  </si>
  <si>
    <t>DCS_E514.csv</t>
  </si>
  <si>
    <t>DCS_E515.csv</t>
  </si>
  <si>
    <t>DCS_E5206.csv</t>
  </si>
  <si>
    <t>DCS_E5207.csv</t>
  </si>
  <si>
    <t>DCS_E5208.csv</t>
  </si>
  <si>
    <t>DCS_E5209.csv</t>
  </si>
  <si>
    <t>DCS_E521.csv</t>
  </si>
  <si>
    <t>DCS_E5210.csv</t>
  </si>
  <si>
    <t>DCS_E5211.csv</t>
  </si>
  <si>
    <t>DCS_E5212.csv</t>
  </si>
  <si>
    <t>DCS_E5213.csv</t>
  </si>
  <si>
    <t>DCS_E5214.csv</t>
  </si>
  <si>
    <t>DCS_E5215.csv</t>
  </si>
  <si>
    <t>DCS_E5216.csv</t>
  </si>
  <si>
    <t>DCS_E522.csv</t>
  </si>
  <si>
    <t>DCS_E523.csv</t>
  </si>
  <si>
    <t>DCS_E524.csv</t>
  </si>
  <si>
    <t>DCS_E525.csv</t>
  </si>
  <si>
    <t>DCS_E530.csv</t>
  </si>
  <si>
    <t>DCS_E531.csv</t>
  </si>
  <si>
    <t>DCS_E533.csv</t>
  </si>
  <si>
    <t>DCS_E534.csv</t>
  </si>
  <si>
    <t>DCS_E535.csv</t>
  </si>
  <si>
    <t>tempo</t>
  </si>
  <si>
    <t>Conc</t>
  </si>
  <si>
    <t>Médias</t>
  </si>
  <si>
    <t>desvpad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</si>
</sst>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9047-92C0-4FE4-A847-FD73423C62F2}">
  <dimension ref="A1:L192"/>
  <sheetViews>
    <sheetView tabSelected="1" topLeftCell="A10" zoomScaleNormal="100" workbookViewId="0">
      <selection activeCell="L8" sqref="L8"/>
    </sheetView>
  </sheetViews>
  <sheetFormatPr defaultRowHeight="15" x14ac:dyDescent="0.25"/>
  <cols>
    <col min="1" max="1" width="22.7109375" customWidth="1"/>
    <col min="2" max="2" width="38.140625" customWidth="1"/>
    <col min="3" max="3" width="51.28515625" customWidth="1"/>
  </cols>
  <sheetData>
    <row r="1" spans="1:12" x14ac:dyDescent="0.25">
      <c r="A1" t="s">
        <v>0</v>
      </c>
      <c r="B1" t="s">
        <v>1</v>
      </c>
      <c r="C1" t="s">
        <v>2</v>
      </c>
      <c r="H1" t="s">
        <v>40</v>
      </c>
      <c r="I1" t="s">
        <v>41</v>
      </c>
      <c r="K1" t="s">
        <v>42</v>
      </c>
      <c r="L1" t="s">
        <v>43</v>
      </c>
    </row>
    <row r="2" spans="1:12" x14ac:dyDescent="0.25">
      <c r="A2" t="s">
        <v>3</v>
      </c>
      <c r="B2" s="1">
        <v>1.75695938351407</v>
      </c>
      <c r="C2" s="1">
        <v>0.45223787431429002</v>
      </c>
      <c r="D2">
        <v>6</v>
      </c>
      <c r="H2" cm="1">
        <f t="array" ref="H2">_xlfn.IFS(D34=0, 0, D34=1, 0.5, D34&gt;13, 12 + (D34-13) * 4, D34&gt;=2, D34-1)</f>
        <v>0</v>
      </c>
      <c r="I2" s="1">
        <v>0.46996981026240098</v>
      </c>
      <c r="J2">
        <f>I2*2.5</f>
        <v>1.1749245256560024</v>
      </c>
    </row>
    <row r="3" spans="1:12" x14ac:dyDescent="0.25">
      <c r="A3" t="s">
        <v>4</v>
      </c>
      <c r="B3" s="1">
        <v>1.8286759995920501</v>
      </c>
      <c r="C3" s="1">
        <v>0.47042420394567602</v>
      </c>
      <c r="D3">
        <v>7</v>
      </c>
      <c r="H3" cm="1">
        <f t="array" ref="H3">_xlfn.IFS(D6=0, 0, D6=1, 0.5, D6&gt;13, 12 + (D6-13) * 4, D6&gt;=2, D6-1)</f>
        <v>0.5</v>
      </c>
      <c r="I3" s="1">
        <v>0.420209327444584</v>
      </c>
      <c r="J3">
        <f t="shared" ref="J3:J38" si="0">I3*2.5</f>
        <v>1.05052331861146</v>
      </c>
    </row>
    <row r="4" spans="1:12" x14ac:dyDescent="0.25">
      <c r="A4" t="s">
        <v>5</v>
      </c>
      <c r="B4" s="1">
        <v>1.8186666439111101</v>
      </c>
      <c r="C4" s="1">
        <v>0.46788597150016498</v>
      </c>
      <c r="D4">
        <v>8</v>
      </c>
      <c r="H4" cm="1">
        <f t="array" ref="H4">_xlfn.IFS(D22=0, 0, D22=1, 0.5, D22&gt;13, 12 + (D22-13) * 4, D22&gt;=2, D22-1)</f>
        <v>0.5</v>
      </c>
      <c r="I4" s="1">
        <v>0.46328852997176301</v>
      </c>
      <c r="J4">
        <f t="shared" si="0"/>
        <v>1.1582213249294075</v>
      </c>
      <c r="K4">
        <f>AVERAGE(J3:J5)</f>
        <v>1.0857988749829308</v>
      </c>
      <c r="L4">
        <f>_xlfn.STDEV.S(I3:I5)</f>
        <v>2.5090664137626249E-2</v>
      </c>
    </row>
    <row r="5" spans="1:12" x14ac:dyDescent="0.25">
      <c r="A5" t="s">
        <v>6</v>
      </c>
      <c r="B5" s="1">
        <v>1.8869506465096899</v>
      </c>
      <c r="C5" s="1">
        <v>0.48520183841806103</v>
      </c>
      <c r="D5">
        <v>9</v>
      </c>
      <c r="H5" cm="1">
        <f t="array" ref="H5">_xlfn.IFS(D35=0, 0, D35=1, 0.5, D35&gt;13, 12 + (D35-13) * 4, D35&gt;=2, D35-1)</f>
        <v>0.5</v>
      </c>
      <c r="I5" s="1">
        <v>0.41946079256316998</v>
      </c>
      <c r="J5">
        <f t="shared" si="0"/>
        <v>1.0486519814079249</v>
      </c>
    </row>
    <row r="6" spans="1:12" x14ac:dyDescent="0.25">
      <c r="A6" t="s">
        <v>7</v>
      </c>
      <c r="B6" s="1">
        <v>1.42317152997707</v>
      </c>
      <c r="C6" s="1">
        <v>0.36759394849414501</v>
      </c>
      <c r="D6">
        <v>1</v>
      </c>
      <c r="H6" cm="1">
        <f t="array" ref="H6">_xlfn.IFS(D14=0, 0, D14=1, 0.5, D14&gt;13, 12 + (D14-13) * 4, D14&gt;=2, D14-1)</f>
        <v>1</v>
      </c>
      <c r="I6" s="1">
        <v>0.45223787431429002</v>
      </c>
      <c r="J6">
        <f t="shared" si="0"/>
        <v>1.130594685785725</v>
      </c>
    </row>
    <row r="7" spans="1:12" x14ac:dyDescent="0.25">
      <c r="A7" t="s">
        <v>8</v>
      </c>
      <c r="B7" s="1">
        <v>1.7628972870342501</v>
      </c>
      <c r="C7" s="1">
        <v>0.45374364350200402</v>
      </c>
      <c r="D7">
        <v>10</v>
      </c>
      <c r="H7" cm="1">
        <f t="array" ref="H7">_xlfn.IFS(D30=0, 0, D30=1, 0.5, D30&gt;13, 12 + (D30-13) * 4, D30&gt;=2, D30-1)</f>
        <v>1</v>
      </c>
      <c r="I7" s="1">
        <v>0.45374364350200402</v>
      </c>
      <c r="J7">
        <f t="shared" si="0"/>
        <v>1.13435910875501</v>
      </c>
      <c r="K7">
        <f>AVERAGE(J6:J7)</f>
        <v>1.1324768972703674</v>
      </c>
      <c r="L7">
        <f>_xlfn.STDEV.S(I6:I7)</f>
        <v>1.0647396035343296E-3</v>
      </c>
    </row>
    <row r="8" spans="1:12" x14ac:dyDescent="0.25">
      <c r="A8" t="s">
        <v>9</v>
      </c>
      <c r="B8" s="1">
        <v>1.8268841274555501</v>
      </c>
      <c r="C8" s="1">
        <v>0.46996981026240098</v>
      </c>
      <c r="D8">
        <v>11</v>
      </c>
      <c r="H8" cm="1">
        <f t="array" ref="H8">_xlfn.IFS(D36=0, 0, D36=1, 0.5, D36&gt;13, 12 + (D36-13) * 4, D36&gt;=2, D36-1)</f>
        <v>2</v>
      </c>
      <c r="I8" s="1">
        <v>0.48594315193347298</v>
      </c>
      <c r="J8">
        <f t="shared" si="0"/>
        <v>1.2148578798336824</v>
      </c>
    </row>
    <row r="9" spans="1:12" x14ac:dyDescent="0.25">
      <c r="A9" t="s">
        <v>10</v>
      </c>
      <c r="B9" s="1">
        <v>1.6103751478328301</v>
      </c>
      <c r="C9" s="1">
        <v>0.41506616467917601</v>
      </c>
      <c r="D9">
        <v>12</v>
      </c>
      <c r="H9" cm="1">
        <f t="array" ref="H9">_xlfn.IFS(D31=0, 0, D31=1, 0.5, D31&gt;13, 12 + (D31-13) * 4, D31&gt;=2, D31-1)</f>
        <v>2</v>
      </c>
      <c r="I9" s="1">
        <v>0.36921841938344002</v>
      </c>
      <c r="J9">
        <f t="shared" si="0"/>
        <v>0.92304604845860005</v>
      </c>
      <c r="K9">
        <f>AVERAGE(J8:J10)</f>
        <v>1.0261508660569791</v>
      </c>
    </row>
    <row r="10" spans="1:12" x14ac:dyDescent="0.25">
      <c r="A10" t="s">
        <v>11</v>
      </c>
      <c r="B10" s="1">
        <v>1.53451935180112</v>
      </c>
      <c r="C10" s="1">
        <v>0.39583019697005101</v>
      </c>
      <c r="D10">
        <v>13</v>
      </c>
      <c r="H10" cm="1">
        <f t="array" ref="H10">_xlfn.IFS(D15=0, 0, D15=1, 0.5, D15&gt;13, 12 + (D15-13) * 4, D15&gt;=2, D15-1)</f>
        <v>2</v>
      </c>
      <c r="I10" s="1">
        <v>0.37621946795146199</v>
      </c>
      <c r="J10">
        <f t="shared" si="0"/>
        <v>0.94054866987865493</v>
      </c>
    </row>
    <row r="11" spans="1:12" x14ac:dyDescent="0.25">
      <c r="A11" t="s">
        <v>12</v>
      </c>
      <c r="B11" s="1">
        <v>1.4571857087548401</v>
      </c>
      <c r="C11" s="1">
        <v>0.37621946795146199</v>
      </c>
      <c r="D11">
        <v>14</v>
      </c>
      <c r="H11" cm="1">
        <f t="array" ref="H11">_xlfn.IFS(D16=0, 0, D16=1, 0.5, D16&gt;13, 12 + (D16-13) * 4, D16&gt;=2, D16-1)</f>
        <v>3</v>
      </c>
      <c r="I11" s="1">
        <v>0.426308060551924</v>
      </c>
      <c r="J11">
        <f t="shared" si="0"/>
        <v>1.0657701513798099</v>
      </c>
    </row>
    <row r="12" spans="1:12" x14ac:dyDescent="0.25">
      <c r="A12" t="s">
        <v>13</v>
      </c>
      <c r="B12" s="1">
        <v>1.6499131299455401</v>
      </c>
      <c r="C12" s="1">
        <v>0.42509244331563201</v>
      </c>
      <c r="D12">
        <v>15</v>
      </c>
      <c r="H12" cm="1">
        <f t="array" ref="H12">_xlfn.IFS(D32=0, 0, D32=1, 0.5, D32&gt;13, 12 + (D32-13) * 4, D32&gt;=2, D32-1)</f>
        <v>3</v>
      </c>
      <c r="I12" s="1">
        <v>0.46761335738996201</v>
      </c>
      <c r="J12">
        <f t="shared" si="0"/>
        <v>1.1690333934749051</v>
      </c>
      <c r="K12">
        <f>AVERAGE(J11:J13)</f>
        <v>1.0907208557302417</v>
      </c>
    </row>
    <row r="13" spans="1:12" x14ac:dyDescent="0.25">
      <c r="A13" t="s">
        <v>14</v>
      </c>
      <c r="B13">
        <v>1.5707159825664601</v>
      </c>
      <c r="C13" s="1">
        <v>0.40500915569180801</v>
      </c>
      <c r="D13">
        <v>16</v>
      </c>
      <c r="H13" cm="1">
        <f t="array" ref="H13">_xlfn.IFS(D37=0, 0, D37=1, 0.5, D37&gt;13, 12 + (D37-13) * 4, D37&gt;=2, D37-1)</f>
        <v>3</v>
      </c>
      <c r="I13" s="1">
        <v>0.41494360893440402</v>
      </c>
      <c r="J13">
        <f t="shared" si="0"/>
        <v>1.0373590223360101</v>
      </c>
    </row>
    <row r="14" spans="1:12" x14ac:dyDescent="0.25">
      <c r="A14" t="s">
        <v>15</v>
      </c>
      <c r="B14" s="1">
        <v>1.4768497273990799</v>
      </c>
      <c r="C14" s="1">
        <v>0.38120598773584402</v>
      </c>
      <c r="D14">
        <v>2</v>
      </c>
      <c r="H14" cm="1">
        <f t="array" ref="H14">_xlfn.IFS(D33=0, 0, D33=1, 0.5, D33&gt;13, 12 + (D33-13) * 4, D33&gt;=2, D33-1)</f>
        <v>4</v>
      </c>
      <c r="I14" s="1">
        <v>0.408279372346387</v>
      </c>
      <c r="J14">
        <f t="shared" si="0"/>
        <v>1.0206984308659675</v>
      </c>
    </row>
    <row r="15" spans="1:12" x14ac:dyDescent="0.25">
      <c r="A15" t="s">
        <v>16</v>
      </c>
      <c r="B15" s="1">
        <v>1.48292403681645</v>
      </c>
      <c r="C15" s="1">
        <v>0.38274634754907499</v>
      </c>
      <c r="D15">
        <v>3</v>
      </c>
      <c r="H15" cm="1">
        <f t="array" ref="H15">_xlfn.IFS(D17=0, 0, D17=1, 0.5, D17&gt;13, 12 + (D17-13) * 4, D17&gt;=2, D17-1)</f>
        <v>4</v>
      </c>
      <c r="I15" s="1">
        <v>0.369653524461168</v>
      </c>
      <c r="J15">
        <f t="shared" si="0"/>
        <v>0.92413381115292004</v>
      </c>
      <c r="K15">
        <f>AVERAGE(J14:J16)</f>
        <v>0.99416588457227595</v>
      </c>
    </row>
    <row r="16" spans="1:12" x14ac:dyDescent="0.25">
      <c r="A16" t="s">
        <v>17</v>
      </c>
      <c r="B16" s="1">
        <v>1.58361187069022</v>
      </c>
      <c r="C16" s="1">
        <v>0.408279372346387</v>
      </c>
      <c r="D16">
        <v>4</v>
      </c>
      <c r="H16" cm="1">
        <f t="array" ref="H16">_xlfn.IFS(D38=0, 0, D38=1, 0.5, D38&gt;13, 12 + (D38-13) * 4, D38&gt;=2, D38-1)</f>
        <v>4</v>
      </c>
      <c r="I16" s="1">
        <v>0.41506616467917601</v>
      </c>
      <c r="J16">
        <f t="shared" si="0"/>
        <v>1.03766541169794</v>
      </c>
    </row>
    <row r="17" spans="1:11" x14ac:dyDescent="0.25">
      <c r="A17" t="s">
        <v>18</v>
      </c>
      <c r="B17" s="1">
        <v>1.6306568779537201</v>
      </c>
      <c r="C17" s="1">
        <v>0.420209327444584</v>
      </c>
      <c r="D17">
        <v>5</v>
      </c>
      <c r="H17" cm="1">
        <f t="array" ref="H17">_xlfn.IFS(D18=0, 0, D18=1, 0.5, D18&gt;13, 12 + (D18-13) * 4, D18&gt;=2, D18-1)</f>
        <v>5</v>
      </c>
      <c r="I17" s="1">
        <v>0.45440196507929098</v>
      </c>
      <c r="J17">
        <f t="shared" si="0"/>
        <v>1.1360049126982275</v>
      </c>
    </row>
    <row r="18" spans="1:11" x14ac:dyDescent="0.25">
      <c r="A18" t="s">
        <v>19</v>
      </c>
      <c r="B18" s="1">
        <v>1.76549333564719</v>
      </c>
      <c r="C18" s="1">
        <v>0.45440196507929098</v>
      </c>
      <c r="D18">
        <v>6</v>
      </c>
      <c r="H18" cm="1">
        <f t="array" ref="H18">_xlfn.IFS(D2=0, 0, D2=1, 0.5, D2&gt;13, 12 + (D2-13) * 4, D2&gt;=2, D2-1)</f>
        <v>5</v>
      </c>
      <c r="I18" s="1">
        <v>0.38740138975563898</v>
      </c>
      <c r="J18">
        <f t="shared" si="0"/>
        <v>0.96850347438909745</v>
      </c>
      <c r="K18">
        <f>AVERAGE(J17:J18)</f>
        <v>1.0522541935436625</v>
      </c>
    </row>
    <row r="19" spans="1:11" x14ac:dyDescent="0.25">
      <c r="A19" t="s">
        <v>20</v>
      </c>
      <c r="B19" s="1">
        <v>1.8005369302351599</v>
      </c>
      <c r="C19" s="1">
        <v>0.46328852997176301</v>
      </c>
      <c r="D19">
        <v>7</v>
      </c>
      <c r="H19" cm="1">
        <f t="array" ref="H19">_xlfn.IFS(D19=0, 0, D19=1, 0.5, D19&gt;13, 12 + (D19-13) * 4, D19&gt;=2, D19-1)</f>
        <v>6</v>
      </c>
      <c r="I19" s="1">
        <v>0.36759394849414501</v>
      </c>
      <c r="J19">
        <f t="shared" si="0"/>
        <v>0.91898487123536254</v>
      </c>
    </row>
    <row r="20" spans="1:11" x14ac:dyDescent="0.25">
      <c r="A20" t="s">
        <v>21</v>
      </c>
      <c r="B20" s="1">
        <v>1.8989236030929999</v>
      </c>
      <c r="C20" s="1">
        <v>0.48823801255725202</v>
      </c>
      <c r="D20">
        <v>8</v>
      </c>
      <c r="H20" cm="1">
        <f t="array" ref="H20">_xlfn.IFS(D3=0, 0, D3=1, 0.5, D3&gt;13, 12 + (D3-13) * 4, D3&gt;=2, D3-1)</f>
        <v>6</v>
      </c>
      <c r="I20" s="1">
        <v>0.38120598773584402</v>
      </c>
      <c r="J20">
        <f t="shared" si="0"/>
        <v>0.95301496933961005</v>
      </c>
      <c r="K20">
        <f>AVERAGE(J19:J20)</f>
        <v>0.93599992028748624</v>
      </c>
    </row>
    <row r="21" spans="1:11" x14ac:dyDescent="0.25">
      <c r="A21" t="s">
        <v>22</v>
      </c>
      <c r="B21" s="1">
        <v>1.93043692496407</v>
      </c>
      <c r="C21" s="1">
        <v>0.49622934972107002</v>
      </c>
      <c r="D21">
        <v>9</v>
      </c>
      <c r="H21" cm="1">
        <f t="array" ref="H21">_xlfn.IFS(D20=0, 0, D20=1, 0.5, D20&gt;13, 12 + (D20-13) * 4, D20&gt;=2, D20-1)</f>
        <v>7</v>
      </c>
      <c r="I21" s="1">
        <v>0.47042420394567602</v>
      </c>
      <c r="J21">
        <f t="shared" si="0"/>
        <v>1.1760605098641901</v>
      </c>
    </row>
    <row r="22" spans="1:11" x14ac:dyDescent="0.25">
      <c r="A22" t="s">
        <v>23</v>
      </c>
      <c r="B22" s="1">
        <v>1.41734204653608</v>
      </c>
      <c r="C22" s="1">
        <v>0.36611567312037102</v>
      </c>
      <c r="D22">
        <v>1</v>
      </c>
      <c r="H22" cm="1">
        <f t="array" ref="H22">_xlfn.IFS(D4=0, 0, D4=1, 0.5, D4&gt;13, 12 + (D4-13) * 4, D4&gt;=2, D4-1)</f>
        <v>7</v>
      </c>
      <c r="I22" s="1">
        <v>0.48823801255725202</v>
      </c>
      <c r="J22">
        <f t="shared" si="0"/>
        <v>1.22059503139313</v>
      </c>
      <c r="K22">
        <f>AVERAGE(J21:J22)</f>
        <v>1.1983277706286599</v>
      </c>
    </row>
    <row r="23" spans="1:11" x14ac:dyDescent="0.25">
      <c r="A23" t="s">
        <v>24</v>
      </c>
      <c r="B23" s="1">
        <v>1.81759160777819</v>
      </c>
      <c r="C23" s="1">
        <v>0.46761335738996201</v>
      </c>
      <c r="D23">
        <v>10</v>
      </c>
      <c r="H23" cm="1">
        <f t="array" ref="H23">_xlfn.IFS(D21=0, 0, D21=1, 0.5, D21&gt;13, 12 + (D21-13) * 4, D21&gt;=2, D21-1)</f>
        <v>8</v>
      </c>
      <c r="I23" s="1">
        <v>0.36611567312037102</v>
      </c>
      <c r="J23">
        <f t="shared" si="0"/>
        <v>0.91528918280092753</v>
      </c>
    </row>
    <row r="24" spans="1:11" x14ac:dyDescent="0.25">
      <c r="A24" t="s">
        <v>25</v>
      </c>
      <c r="B24" s="1">
        <v>1.8898739684694099</v>
      </c>
      <c r="C24" s="1">
        <v>0.48594315193347298</v>
      </c>
      <c r="D24">
        <v>11</v>
      </c>
      <c r="H24" cm="1">
        <f t="array" ref="H24">_xlfn.IFS(D5=0, 0, D5=1, 0.5, D5&gt;13, 12 + (D5-13) * 4, D5&gt;=2, D5-1)</f>
        <v>8</v>
      </c>
      <c r="I24" s="1">
        <v>0.42509244331563201</v>
      </c>
      <c r="J24">
        <f t="shared" si="0"/>
        <v>1.06273110828908</v>
      </c>
      <c r="K24">
        <f>AVERAGE(J23:J24)</f>
        <v>0.98901014554500377</v>
      </c>
    </row>
    <row r="25" spans="1:11" x14ac:dyDescent="0.25">
      <c r="A25" t="s">
        <v>26</v>
      </c>
      <c r="B25" s="1">
        <v>1.6824475009639099</v>
      </c>
      <c r="C25" s="1">
        <v>0.43334270424604998</v>
      </c>
      <c r="D25">
        <v>12</v>
      </c>
      <c r="H25" cm="1">
        <f t="array" ref="H25">_xlfn.IFS(D23=0, 0, D23=1, 0.5, D23&gt;13, 12 + (D23-13) * 4, D23&gt;=2, D23-1)</f>
        <v>9</v>
      </c>
      <c r="I25" s="1">
        <v>0.35974495707757298</v>
      </c>
      <c r="J25">
        <f t="shared" si="0"/>
        <v>0.89936239269393248</v>
      </c>
    </row>
    <row r="26" spans="1:11" x14ac:dyDescent="0.25">
      <c r="A26" t="s">
        <v>27</v>
      </c>
      <c r="B26" s="1">
        <v>1.4912303266213001</v>
      </c>
      <c r="C26" s="1">
        <v>0.38485270633544699</v>
      </c>
      <c r="D26">
        <v>13</v>
      </c>
      <c r="H26" cm="1">
        <f t="array" ref="H26">_xlfn.IFS(D7=0, 0, D7=1, 0.5, D7&gt;13, 12 + (D7-13) * 4, D7&gt;=2, D7-1)</f>
        <v>9</v>
      </c>
      <c r="I26" s="1">
        <v>0.43334270424604998</v>
      </c>
      <c r="J26">
        <f t="shared" si="0"/>
        <v>1.0833567606151249</v>
      </c>
      <c r="K26">
        <f>AVERAGE(J25:J26)</f>
        <v>0.99135957665452867</v>
      </c>
    </row>
    <row r="27" spans="1:11" x14ac:dyDescent="0.25">
      <c r="A27" t="s">
        <v>28</v>
      </c>
      <c r="B27" s="1">
        <v>1.5012808950457699</v>
      </c>
      <c r="C27" s="1">
        <v>0.38740138975563898</v>
      </c>
      <c r="D27">
        <v>14</v>
      </c>
      <c r="H27" cm="1">
        <f t="array" ref="H27">_xlfn.IFS(D24=0, 0, D24=1, 0.5, D24&gt;13, 12 + (D24-13) * 4, D24&gt;=2, D24-1)</f>
        <v>10</v>
      </c>
      <c r="I27" s="1">
        <v>0.46788597150016498</v>
      </c>
      <c r="J27">
        <f t="shared" si="0"/>
        <v>1.1697149287504125</v>
      </c>
    </row>
    <row r="28" spans="1:11" x14ac:dyDescent="0.25">
      <c r="A28" t="s">
        <v>29</v>
      </c>
      <c r="B28" s="1">
        <v>1.66740988093558</v>
      </c>
      <c r="C28" s="1">
        <v>0.42952937436989602</v>
      </c>
      <c r="D28">
        <v>15</v>
      </c>
      <c r="H28" cm="1">
        <f t="array" ref="H28">_xlfn.IFS(D8=0, 0, D8=1, 0.5, D8&gt;13, 12 + (D8-13) * 4, D8&gt;=2, D8-1)</f>
        <v>10</v>
      </c>
      <c r="I28" s="1">
        <v>0.41888932419240898</v>
      </c>
      <c r="J28">
        <f t="shared" si="0"/>
        <v>1.0472233104810225</v>
      </c>
      <c r="K28">
        <f>AVERAGE(J27:J28)</f>
        <v>1.1084691196157175</v>
      </c>
    </row>
    <row r="29" spans="1:11" x14ac:dyDescent="0.25">
      <c r="A29" t="s">
        <v>30</v>
      </c>
      <c r="B29" s="1">
        <v>1.6547068379888901</v>
      </c>
      <c r="C29" s="1">
        <v>0.426308060551924</v>
      </c>
      <c r="D29">
        <v>16</v>
      </c>
      <c r="H29" cm="1">
        <f t="array" ref="H29">_xlfn.IFS(D25=0, 0, D25=1, 0.5, D25&gt;13, 12 + (D25-13) * 4, D25&gt;=2, D25-1)</f>
        <v>11</v>
      </c>
      <c r="I29" s="1">
        <v>0.379113306641711</v>
      </c>
      <c r="J29">
        <f t="shared" si="0"/>
        <v>0.94778326660427747</v>
      </c>
    </row>
    <row r="30" spans="1:11" x14ac:dyDescent="0.25">
      <c r="A30" t="s">
        <v>31</v>
      </c>
      <c r="B30" s="1">
        <v>1.4685973746900101</v>
      </c>
      <c r="C30" s="1">
        <v>0.379113306641711</v>
      </c>
      <c r="D30">
        <v>2</v>
      </c>
      <c r="H30" cm="1">
        <f t="array" ref="H30">_xlfn.IFS(D9=0, 0, D9=1, 0.5, D9&gt;13, 12 + (D9-13) * 4, D9&gt;=2, D9-1)</f>
        <v>11</v>
      </c>
      <c r="I30" s="1">
        <v>0.39583019697005101</v>
      </c>
      <c r="J30">
        <f t="shared" si="0"/>
        <v>0.98957549242512755</v>
      </c>
      <c r="K30">
        <f>AVERAGE(J29:J30)</f>
        <v>0.96867937951470251</v>
      </c>
    </row>
    <row r="31" spans="1:11" x14ac:dyDescent="0.25">
      <c r="A31" t="s">
        <v>32</v>
      </c>
      <c r="B31" s="1">
        <v>1.4828307998752299</v>
      </c>
      <c r="C31" s="1">
        <v>0.38272270396632302</v>
      </c>
      <c r="D31">
        <v>3</v>
      </c>
      <c r="H31" cm="1">
        <f t="array" ref="H31">_xlfn.IFS(D26=0, 0, D26=1, 0.5, D26&gt;13, 12 + (D26-13) * 4, D26&gt;=2, D26-1)</f>
        <v>12</v>
      </c>
      <c r="I31" s="1">
        <v>0.48520183841806103</v>
      </c>
      <c r="J31">
        <f t="shared" si="0"/>
        <v>1.2130045960451525</v>
      </c>
    </row>
    <row r="32" spans="1:11" x14ac:dyDescent="0.25">
      <c r="A32" t="s">
        <v>33</v>
      </c>
      <c r="B32" s="1">
        <v>1.62770507900366</v>
      </c>
      <c r="C32" s="1">
        <v>0.41946079256316998</v>
      </c>
      <c r="D32">
        <v>4</v>
      </c>
      <c r="H32" cm="1">
        <f t="array" ref="H32">_xlfn.IFS(D10=0, 0, D10=1, 0.5, D10&gt;13, 12 + (D10-13) * 4, D10&gt;=2, D10-1)</f>
        <v>12</v>
      </c>
      <c r="I32" s="1">
        <v>0.42952937436989602</v>
      </c>
      <c r="J32">
        <f t="shared" si="0"/>
        <v>1.0738234359247401</v>
      </c>
      <c r="K32">
        <f>AVERAGE(J31:J32)</f>
        <v>1.1434140159849462</v>
      </c>
    </row>
    <row r="33" spans="1:11" x14ac:dyDescent="0.25">
      <c r="A33" t="s">
        <v>34</v>
      </c>
      <c r="B33" s="1">
        <v>1.6254515303999999</v>
      </c>
      <c r="C33" s="1">
        <v>0.41888932419240898</v>
      </c>
      <c r="D33">
        <v>5</v>
      </c>
      <c r="H33" cm="1">
        <f t="array" ref="H33">_xlfn.IFS(D11=0, 0, D11=1, 0.5, D11&gt;13, 12 + (D11-13) * 4, D11&gt;=2, D11-1)</f>
        <v>16</v>
      </c>
      <c r="I33" s="1">
        <v>0.42547989675550402</v>
      </c>
      <c r="J33">
        <f t="shared" si="0"/>
        <v>1.0636997418887599</v>
      </c>
    </row>
    <row r="34" spans="1:11" x14ac:dyDescent="0.25">
      <c r="A34" t="s">
        <v>35</v>
      </c>
      <c r="B34" s="1">
        <v>1.43129333475594</v>
      </c>
      <c r="C34" s="1">
        <v>0.369653524461168</v>
      </c>
      <c r="D34">
        <v>0</v>
      </c>
      <c r="H34" cm="1">
        <f t="array" ref="H34">_xlfn.IFS(D27=0, 0, D27=1, 0.5, D27&gt;13, 12 + (D27-13) * 4, D27&gt;=2, D27-1)</f>
        <v>16</v>
      </c>
      <c r="I34" s="1">
        <v>0.38274634754907499</v>
      </c>
      <c r="J34">
        <f t="shared" si="0"/>
        <v>0.95686586887268743</v>
      </c>
      <c r="K34">
        <f>AVERAGE(J33:J34)</f>
        <v>1.0102828053807236</v>
      </c>
    </row>
    <row r="35" spans="1:11" x14ac:dyDescent="0.25">
      <c r="A35" t="s">
        <v>36</v>
      </c>
      <c r="B35" s="1">
        <v>1.39221953936483</v>
      </c>
      <c r="C35" s="1">
        <v>0.35974495707757298</v>
      </c>
      <c r="D35">
        <v>1</v>
      </c>
      <c r="H35" cm="1">
        <f t="array" ref="H35">_xlfn.IFS(D12=0, 0, D12=1, 0.5, D12&gt;13, 12 + (D12-13) * 4, D12&gt;=2, D12-1)</f>
        <v>20</v>
      </c>
      <c r="I35" s="1">
        <v>0.38485270633544699</v>
      </c>
      <c r="J35">
        <f t="shared" si="0"/>
        <v>0.96213176583861748</v>
      </c>
    </row>
    <row r="36" spans="1:11" x14ac:dyDescent="0.25">
      <c r="A36" t="s">
        <v>37</v>
      </c>
      <c r="B36" s="1">
        <v>1.4295775259893899</v>
      </c>
      <c r="C36" s="1">
        <v>0.36921841938344002</v>
      </c>
      <c r="D36">
        <v>3</v>
      </c>
      <c r="H36" cm="1">
        <f t="array" ref="H36">_xlfn.IFS(D28=0, 0, D28=1, 0.5, D28&gt;13, 12 + (D28-13) * 4, D28&gt;=2, D28-1)</f>
        <v>20</v>
      </c>
      <c r="I36" s="1">
        <v>0.49622934972107002</v>
      </c>
      <c r="J36">
        <f t="shared" si="0"/>
        <v>1.240573374302675</v>
      </c>
      <c r="K36">
        <f>AVERAGE(J35:J36)</f>
        <v>1.1013525700706461</v>
      </c>
    </row>
    <row r="37" spans="1:11" x14ac:dyDescent="0.25">
      <c r="A37" t="s">
        <v>38</v>
      </c>
      <c r="B37" s="1">
        <v>1.60989185717033</v>
      </c>
      <c r="C37" s="1">
        <v>0.41494360893440402</v>
      </c>
      <c r="D37">
        <v>4</v>
      </c>
      <c r="H37" cm="1">
        <f t="array" ref="H37">_xlfn.IFS(D29=0, 0, D29=1, 0.5, D29&gt;13, 12 + (D29-13) * 4, D29&gt;=2, D29-1)</f>
        <v>24</v>
      </c>
      <c r="I37" s="1">
        <v>0.38272270396632302</v>
      </c>
      <c r="J37">
        <f t="shared" si="0"/>
        <v>0.95680675991580755</v>
      </c>
    </row>
    <row r="38" spans="1:11" x14ac:dyDescent="0.25">
      <c r="A38" t="s">
        <v>39</v>
      </c>
      <c r="B38" s="1">
        <v>1.6514410275564699</v>
      </c>
      <c r="C38" s="1">
        <v>0.42547989675550402</v>
      </c>
      <c r="D38">
        <v>5</v>
      </c>
      <c r="H38" cm="1">
        <f t="array" ref="H38">_xlfn.IFS(D13=0, 0, D13=1, 0.5, D13&gt;13, 12 + (D13-13) * 4, D13&gt;=2, D13-1)</f>
        <v>24</v>
      </c>
      <c r="I38" s="1">
        <v>0.40500915569180801</v>
      </c>
      <c r="J38">
        <f t="shared" si="0"/>
        <v>1.0125228892295199</v>
      </c>
      <c r="K38">
        <f>AVERAGE(J37:J38)</f>
        <v>0.98466482457266369</v>
      </c>
    </row>
    <row r="39" spans="1:11" x14ac:dyDescent="0.25">
      <c r="B39" s="1"/>
      <c r="C39" s="1"/>
    </row>
    <row r="40" spans="1:11" x14ac:dyDescent="0.25">
      <c r="B40" s="1"/>
      <c r="C40" s="1"/>
    </row>
    <row r="41" spans="1:11" x14ac:dyDescent="0.25">
      <c r="B41" s="1"/>
      <c r="C41" s="1"/>
    </row>
    <row r="42" spans="1:11" x14ac:dyDescent="0.25">
      <c r="B42" s="1"/>
    </row>
    <row r="43" spans="1:11" x14ac:dyDescent="0.25">
      <c r="B43" s="1"/>
      <c r="C43" s="1"/>
    </row>
    <row r="44" spans="1:11" x14ac:dyDescent="0.25">
      <c r="B44" s="1"/>
      <c r="C44" s="1"/>
    </row>
    <row r="45" spans="1:11" x14ac:dyDescent="0.25">
      <c r="B45" s="1"/>
    </row>
    <row r="46" spans="1:11" x14ac:dyDescent="0.25">
      <c r="B46" s="1"/>
      <c r="C46" s="1"/>
    </row>
    <row r="47" spans="1:11" x14ac:dyDescent="0.25">
      <c r="B47" s="1"/>
      <c r="C47" s="1"/>
    </row>
    <row r="48" spans="1:11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4" spans="2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6" spans="2:3" x14ac:dyDescent="0.25">
      <c r="B86" s="1"/>
      <c r="C86" s="1"/>
    </row>
    <row r="95" spans="2:3" x14ac:dyDescent="0.25">
      <c r="C95" s="1"/>
    </row>
    <row r="96" spans="2:3" x14ac:dyDescent="0.25">
      <c r="B96" s="1"/>
      <c r="C96" s="1"/>
    </row>
    <row r="97" spans="2:3" x14ac:dyDescent="0.25">
      <c r="C97" s="1"/>
    </row>
    <row r="98" spans="2:3" x14ac:dyDescent="0.25">
      <c r="B98" s="1"/>
      <c r="C98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C116" s="1"/>
    </row>
    <row r="117" spans="2:3" x14ac:dyDescent="0.25">
      <c r="B117" s="1"/>
      <c r="C117" s="1"/>
    </row>
    <row r="118" spans="2:3" x14ac:dyDescent="0.25">
      <c r="B118" s="1"/>
      <c r="C118" s="1"/>
    </row>
    <row r="119" spans="2:3" x14ac:dyDescent="0.25">
      <c r="B119" s="1"/>
      <c r="C119" s="1"/>
    </row>
    <row r="120" spans="2:3" x14ac:dyDescent="0.25">
      <c r="B120" s="1"/>
      <c r="C120" s="1"/>
    </row>
    <row r="121" spans="2:3" x14ac:dyDescent="0.25">
      <c r="B121" s="1"/>
      <c r="C121" s="1"/>
    </row>
    <row r="122" spans="2:3" x14ac:dyDescent="0.25">
      <c r="B122" s="1"/>
      <c r="C122" s="1"/>
    </row>
    <row r="123" spans="2:3" x14ac:dyDescent="0.25">
      <c r="B123" s="1"/>
      <c r="C123" s="1"/>
    </row>
    <row r="124" spans="2:3" x14ac:dyDescent="0.25">
      <c r="B124" s="1"/>
      <c r="C124" s="1"/>
    </row>
    <row r="125" spans="2:3" x14ac:dyDescent="0.25">
      <c r="B125" s="1"/>
      <c r="C125" s="1"/>
    </row>
    <row r="126" spans="2:3" x14ac:dyDescent="0.25">
      <c r="B126" s="1"/>
      <c r="C126" s="1"/>
    </row>
    <row r="127" spans="2:3" x14ac:dyDescent="0.25">
      <c r="B127" s="1"/>
      <c r="C127" s="1"/>
    </row>
    <row r="128" spans="2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</row>
    <row r="177" spans="2:3" x14ac:dyDescent="0.25">
      <c r="C177" s="1"/>
    </row>
    <row r="178" spans="2:3" x14ac:dyDescent="0.25">
      <c r="B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</row>
    <row r="191" spans="2:3" x14ac:dyDescent="0.25">
      <c r="B191" s="1"/>
    </row>
    <row r="192" spans="2:3" x14ac:dyDescent="0.25">
      <c r="C192" s="1"/>
    </row>
  </sheetData>
  <sortState xmlns:xlrd2="http://schemas.microsoft.com/office/spreadsheetml/2017/richdata2" ref="E2:F38">
    <sortCondition ref="E2:E3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resultados_finais_celobiose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Souza</cp:lastModifiedBy>
  <dcterms:created xsi:type="dcterms:W3CDTF">2025-10-06T04:03:42Z</dcterms:created>
  <dcterms:modified xsi:type="dcterms:W3CDTF">2025-10-06T16:35:50Z</dcterms:modified>
</cp:coreProperties>
</file>